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Dashboard" sheetId="1" r:id="rId1"/>
    <sheet name="Sheet2" sheetId="2" r:id="rId2"/>
  </sheets>
  <definedNames>
    <definedName name="_xlnm._FilterDatabase" localSheetId="0" hidden="1">Dashboard!$D$1:$D$27</definedName>
    <definedName name="_xlnm.Print_Area" localSheetId="0">Dashboard!$A$1:$T$33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2" i="2"/>
  <c r="B5" i="2"/>
  <c r="G4" i="2" l="1"/>
  <c r="E3" i="2"/>
</calcChain>
</file>

<file path=xl/sharedStrings.xml><?xml version="1.0" encoding="utf-8"?>
<sst xmlns="http://schemas.openxmlformats.org/spreadsheetml/2006/main" count="84" uniqueCount="41">
  <si>
    <t>Date</t>
  </si>
  <si>
    <t>Name</t>
  </si>
  <si>
    <t>Category</t>
  </si>
  <si>
    <t>Type</t>
  </si>
  <si>
    <t>Amount</t>
  </si>
  <si>
    <t>Transfer from Ohajunwa Daniel</t>
  </si>
  <si>
    <t>Transfer</t>
  </si>
  <si>
    <t>Credit</t>
  </si>
  <si>
    <t>Airtime Purchase</t>
  </si>
  <si>
    <t>Transfer from Mary</t>
  </si>
  <si>
    <t>Data Purchase</t>
  </si>
  <si>
    <t>Tv Subscription</t>
  </si>
  <si>
    <t>Transfer from Alexander Jude</t>
  </si>
  <si>
    <t>Betting Payment</t>
  </si>
  <si>
    <t>Transfer from Grace Amadi</t>
  </si>
  <si>
    <t>Electricity Bill</t>
  </si>
  <si>
    <t>Transfer from David Fred</t>
  </si>
  <si>
    <t>Transfer from Sarah Abraham</t>
  </si>
  <si>
    <t>Transfer from Emma David</t>
  </si>
  <si>
    <t>Transfer from Jomiloju Ojo</t>
  </si>
  <si>
    <t>Airtime</t>
  </si>
  <si>
    <t>Data</t>
  </si>
  <si>
    <t>Tv</t>
  </si>
  <si>
    <t>Betting</t>
  </si>
  <si>
    <t>tv</t>
  </si>
  <si>
    <t>Bills</t>
  </si>
  <si>
    <t>Debit</t>
  </si>
  <si>
    <t>Metric</t>
  </si>
  <si>
    <t>Formula</t>
  </si>
  <si>
    <t>Total Credit</t>
  </si>
  <si>
    <t>Interest</t>
  </si>
  <si>
    <t>wallet</t>
  </si>
  <si>
    <t>owealth</t>
  </si>
  <si>
    <t>Spend &amp; Save Deposit</t>
  </si>
  <si>
    <t>Deposit</t>
  </si>
  <si>
    <t>Transfer to Kenneth</t>
  </si>
  <si>
    <t>Total debit</t>
  </si>
  <si>
    <t>Avl Bal</t>
  </si>
  <si>
    <t>Test Transfers</t>
  </si>
  <si>
    <t>Transfer from Emeka Clinton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</si>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</sst>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₦-470]* #,##0.00_-;\-[$₦-470]* #,##0.00_-;_-[$₦-470]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">
    <dxf>
      <numFmt numFmtId="164" formatCode="_-[$₦-470]* #,##0.00_-;\-[$₦-470]* #,##0.00_-;_-[$₦-470]* &quot;-&quot;??_-;_-@_-"/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613821</xdr:colOff>
      <xdr:row>5</xdr:row>
      <xdr:rowOff>137585</xdr:rowOff>
    </xdr:from>
    <xdr:to>
      <xdr:col>14</xdr:col>
      <xdr:colOff>132290</xdr:colOff>
      <xdr:row>10</xdr:row>
      <xdr:rowOff>186267</xdr:rowOff>
    </xdr:to>
    <xdr:sp macro="" textlink="Sheet2!G4">
      <xdr:nvSpPr>
        <xdr:cNvPr id="2" name="Round Same Side Corner Rectangle 1"/>
        <xdr:cNvSpPr/>
      </xdr:nvSpPr>
      <xdr:spPr>
        <a:xfrm>
          <a:off x="6455821" y="1164168"/>
          <a:ext cx="5318136" cy="1001182"/>
        </a:xfrm>
        <a:prstGeom prst="round2SameRect">
          <a:avLst/>
        </a:prstGeom>
        <a:solidFill>
          <a:srgbClr val="00B050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19A7E18A-9A34-4961-ADEC-03A8DD4F5316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₦2,944,400.00 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28575</xdr:rowOff>
    </xdr:from>
    <xdr:to>
      <xdr:col>9</xdr:col>
      <xdr:colOff>358110</xdr:colOff>
      <xdr:row>7</xdr:row>
      <xdr:rowOff>180975</xdr:rowOff>
    </xdr:to>
    <xdr:sp macro="" textlink="">
      <xdr:nvSpPr>
        <xdr:cNvPr id="3" name="TextBox 2"/>
        <xdr:cNvSpPr txBox="1"/>
      </xdr:nvSpPr>
      <xdr:spPr>
        <a:xfrm>
          <a:off x="6455833" y="1287992"/>
          <a:ext cx="1797444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Available Balance </a:t>
          </a:r>
        </a:p>
      </xdr:txBody>
    </xdr:sp>
    <xdr:clientData/>
  </xdr:twoCellAnchor>
  <xdr:twoCellAnchor>
    <xdr:from>
      <xdr:col>12</xdr:col>
      <xdr:colOff>260742</xdr:colOff>
      <xdr:row>7</xdr:row>
      <xdr:rowOff>123824</xdr:rowOff>
    </xdr:from>
    <xdr:to>
      <xdr:col>14</xdr:col>
      <xdr:colOff>111156</xdr:colOff>
      <xdr:row>9</xdr:row>
      <xdr:rowOff>114299</xdr:rowOff>
    </xdr:to>
    <xdr:sp macro="" textlink="">
      <xdr:nvSpPr>
        <xdr:cNvPr id="5" name="Flowchart: Terminator 4"/>
        <xdr:cNvSpPr/>
      </xdr:nvSpPr>
      <xdr:spPr>
        <a:xfrm>
          <a:off x="10463075" y="1573741"/>
          <a:ext cx="1480248" cy="371475"/>
        </a:xfrm>
        <a:prstGeom prst="flowChartTerminator">
          <a:avLst/>
        </a:prstGeom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B050"/>
              </a:solidFill>
            </a:rPr>
            <a:t>+ Add Money</a:t>
          </a:r>
        </a:p>
      </xdr:txBody>
    </xdr:sp>
    <xdr:clientData/>
  </xdr:twoCellAnchor>
  <xdr:twoCellAnchor>
    <xdr:from>
      <xdr:col>7</xdr:col>
      <xdr:colOff>79932</xdr:colOff>
      <xdr:row>9</xdr:row>
      <xdr:rowOff>19050</xdr:rowOff>
    </xdr:from>
    <xdr:to>
      <xdr:col>9</xdr:col>
      <xdr:colOff>797531</xdr:colOff>
      <xdr:row>10</xdr:row>
      <xdr:rowOff>47624</xdr:rowOff>
    </xdr:to>
    <xdr:sp macro="" textlink="">
      <xdr:nvSpPr>
        <xdr:cNvPr id="7" name="Flowchart: Terminator 6"/>
        <xdr:cNvSpPr/>
      </xdr:nvSpPr>
      <xdr:spPr>
        <a:xfrm>
          <a:off x="6535765" y="1849967"/>
          <a:ext cx="2156933" cy="219074"/>
        </a:xfrm>
        <a:prstGeom prst="flowChartTerminator">
          <a:avLst/>
        </a:prstGeom>
        <a:solidFill>
          <a:srgbClr val="00B050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/>
            <a:t> Interest Credited Today </a:t>
          </a:r>
          <a:r>
            <a:rPr lang="en-US" sz="900" b="1"/>
            <a:t>+₦40.00 </a:t>
          </a:r>
        </a:p>
      </xdr:txBody>
    </xdr:sp>
    <xdr:clientData/>
  </xdr:twoCellAnchor>
  <xdr:twoCellAnchor>
    <xdr:from>
      <xdr:col>7</xdr:col>
      <xdr:colOff>1</xdr:colOff>
      <xdr:row>10</xdr:row>
      <xdr:rowOff>142876</xdr:rowOff>
    </xdr:from>
    <xdr:to>
      <xdr:col>14</xdr:col>
      <xdr:colOff>148167</xdr:colOff>
      <xdr:row>12</xdr:row>
      <xdr:rowOff>148168</xdr:rowOff>
    </xdr:to>
    <xdr:sp macro="" textlink="">
      <xdr:nvSpPr>
        <xdr:cNvPr id="9" name="Rounded Rectangle 8"/>
        <xdr:cNvSpPr/>
      </xdr:nvSpPr>
      <xdr:spPr>
        <a:xfrm>
          <a:off x="6455834" y="2121959"/>
          <a:ext cx="5334000" cy="386292"/>
        </a:xfrm>
        <a:prstGeom prst="roundRect">
          <a:avLst>
            <a:gd name="adj" fmla="val 4422"/>
          </a:avLst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         </a:t>
          </a:r>
          <a:r>
            <a:rPr lang="en-US" sz="900">
              <a:solidFill>
                <a:sysClr val="windowText" lastClr="000000"/>
              </a:solidFill>
            </a:rPr>
            <a:t>₦5.00</a:t>
          </a:r>
          <a:r>
            <a:rPr lang="en-US" sz="900"/>
            <a:t> </a:t>
          </a:r>
          <a:r>
            <a:rPr lang="en-US" sz="1000">
              <a:solidFill>
                <a:sysClr val="windowText" lastClr="000000"/>
              </a:solidFill>
            </a:rPr>
            <a:t>&gt;</a:t>
          </a:r>
        </a:p>
      </xdr:txBody>
    </xdr:sp>
    <xdr:clientData/>
  </xdr:twoCellAnchor>
  <xdr:oneCellAnchor>
    <xdr:from>
      <xdr:col>6</xdr:col>
      <xdr:colOff>561975</xdr:colOff>
      <xdr:row>11</xdr:row>
      <xdr:rowOff>9525</xdr:rowOff>
    </xdr:from>
    <xdr:ext cx="666750" cy="197884"/>
    <xdr:sp macro="" textlink="">
      <xdr:nvSpPr>
        <xdr:cNvPr id="10" name="TextBox 9"/>
        <xdr:cNvSpPr txBox="1"/>
      </xdr:nvSpPr>
      <xdr:spPr>
        <a:xfrm>
          <a:off x="6381750" y="2219325"/>
          <a:ext cx="666750" cy="19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>
              <a:solidFill>
                <a:schemeClr val="accent3">
                  <a:lumMod val="75000"/>
                </a:schemeClr>
              </a:solidFill>
            </a:rPr>
            <a:t>Wallet </a:t>
          </a:r>
        </a:p>
      </xdr:txBody>
    </xdr:sp>
    <xdr:clientData/>
  </xdr:oneCellAnchor>
  <xdr:oneCellAnchor>
    <xdr:from>
      <xdr:col>13</xdr:col>
      <xdr:colOff>137583</xdr:colOff>
      <xdr:row>10</xdr:row>
      <xdr:rowOff>78316</xdr:rowOff>
    </xdr:from>
    <xdr:ext cx="793750" cy="428625"/>
    <xdr:sp macro="" textlink="Sheet2!G4">
      <xdr:nvSpPr>
        <xdr:cNvPr id="12" name="TextBox 11"/>
        <xdr:cNvSpPr txBox="1"/>
      </xdr:nvSpPr>
      <xdr:spPr>
        <a:xfrm>
          <a:off x="11027833" y="2057399"/>
          <a:ext cx="793750" cy="428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4290717D-FEBD-491B-8570-57886A8D484B}" type="TxLink">
            <a:rPr lang="en-US" sz="900" b="0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r"/>
            <a:t> ₦2,944,400.00 </a:t>
          </a:fld>
          <a:endParaRPr lang="en-US" sz="900">
            <a:solidFill>
              <a:schemeClr val="bg2">
                <a:lumMod val="25000"/>
              </a:schemeClr>
            </a:solidFill>
          </a:endParaRPr>
        </a:p>
      </xdr:txBody>
    </xdr:sp>
    <xdr:clientData/>
  </xdr:oneCellAnchor>
  <xdr:twoCellAnchor editAs="oneCell">
    <xdr:from>
      <xdr:col>8</xdr:col>
      <xdr:colOff>447675</xdr:colOff>
      <xdr:row>6</xdr:row>
      <xdr:rowOff>114299</xdr:rowOff>
    </xdr:from>
    <xdr:to>
      <xdr:col>9</xdr:col>
      <xdr:colOff>341842</xdr:colOff>
      <xdr:row>7</xdr:row>
      <xdr:rowOff>66674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6650" y="1371599"/>
          <a:ext cx="447675" cy="142875"/>
        </a:xfrm>
        <a:prstGeom prst="rect">
          <a:avLst/>
        </a:prstGeom>
      </xdr:spPr>
    </xdr:pic>
    <xdr:clientData/>
  </xdr:twoCellAnchor>
  <xdr:twoCellAnchor>
    <xdr:from>
      <xdr:col>6</xdr:col>
      <xdr:colOff>607483</xdr:colOff>
      <xdr:row>13</xdr:row>
      <xdr:rowOff>58209</xdr:rowOff>
    </xdr:from>
    <xdr:to>
      <xdr:col>14</xdr:col>
      <xdr:colOff>117475</xdr:colOff>
      <xdr:row>24</xdr:row>
      <xdr:rowOff>39159</xdr:rowOff>
    </xdr:to>
    <xdr:sp macro="" textlink="#REF!">
      <xdr:nvSpPr>
        <xdr:cNvPr id="13" name="Rectangle 12"/>
        <xdr:cNvSpPr/>
      </xdr:nvSpPr>
      <xdr:spPr>
        <a:xfrm>
          <a:off x="6449483" y="2608792"/>
          <a:ext cx="5500159" cy="2076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9476E80-857E-4CD9-903E-FFFECCD16E8E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Transaction</a:t>
          </a:fld>
          <a:endParaRPr lang="en-US" sz="1100"/>
        </a:p>
      </xdr:txBody>
    </xdr:sp>
    <xdr:clientData/>
  </xdr:twoCellAnchor>
  <xdr:twoCellAnchor>
    <xdr:from>
      <xdr:col>13</xdr:col>
      <xdr:colOff>123824</xdr:colOff>
      <xdr:row>13</xdr:row>
      <xdr:rowOff>57150</xdr:rowOff>
    </xdr:from>
    <xdr:to>
      <xdr:col>14</xdr:col>
      <xdr:colOff>133349</xdr:colOff>
      <xdr:row>14</xdr:row>
      <xdr:rowOff>85725</xdr:rowOff>
    </xdr:to>
    <xdr:sp macro="" textlink="">
      <xdr:nvSpPr>
        <xdr:cNvPr id="14" name="TextBox 13"/>
        <xdr:cNvSpPr txBox="1"/>
      </xdr:nvSpPr>
      <xdr:spPr>
        <a:xfrm>
          <a:off x="11172824" y="2647950"/>
          <a:ext cx="61912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accent3">
                  <a:lumMod val="75000"/>
                </a:schemeClr>
              </a:solidFill>
            </a:rPr>
            <a:t>More </a:t>
          </a:r>
          <a:r>
            <a:rPr lang="en-US" sz="1100"/>
            <a:t>&gt;</a:t>
          </a:r>
        </a:p>
      </xdr:txBody>
    </xdr:sp>
    <xdr:clientData/>
  </xdr:twoCellAnchor>
  <xdr:twoCellAnchor>
    <xdr:from>
      <xdr:col>7</xdr:col>
      <xdr:colOff>9526</xdr:colOff>
      <xdr:row>14</xdr:row>
      <xdr:rowOff>74084</xdr:rowOff>
    </xdr:from>
    <xdr:to>
      <xdr:col>14</xdr:col>
      <xdr:colOff>76201</xdr:colOff>
      <xdr:row>17</xdr:row>
      <xdr:rowOff>169334</xdr:rowOff>
    </xdr:to>
    <xdr:sp macro="" textlink="">
      <xdr:nvSpPr>
        <xdr:cNvPr id="16" name="TextBox 15"/>
        <xdr:cNvSpPr txBox="1"/>
      </xdr:nvSpPr>
      <xdr:spPr>
        <a:xfrm>
          <a:off x="6465359" y="2857501"/>
          <a:ext cx="5305425" cy="6667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</a:p>
        <a:p>
          <a:pPr algn="l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Spend &amp; Save Deposit                    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</a:t>
          </a:r>
          <a:r>
            <a:rPr lang="en-US"/>
            <a:t>₦500.00 </a:t>
          </a:r>
        </a:p>
        <a:p>
          <a:pPr algn="l"/>
          <a:r>
            <a:rPr lang="en-US" sz="900"/>
            <a:t>              </a:t>
          </a:r>
          <a:r>
            <a:rPr lang="en-US" sz="900">
              <a:solidFill>
                <a:schemeClr val="accent3">
                  <a:lumMod val="75000"/>
                </a:schemeClr>
              </a:solidFill>
            </a:rPr>
            <a:t>Apr 6th, 11:34:23</a:t>
          </a:r>
        </a:p>
        <a:p>
          <a:pPr algn="l"/>
          <a:r>
            <a:rPr lang="en-US"/>
            <a:t>            </a:t>
          </a:r>
        </a:p>
      </xdr:txBody>
    </xdr:sp>
    <xdr:clientData/>
  </xdr:twoCellAnchor>
  <xdr:twoCellAnchor editAs="oneCell">
    <xdr:from>
      <xdr:col>7</xdr:col>
      <xdr:colOff>37041</xdr:colOff>
      <xdr:row>15</xdr:row>
      <xdr:rowOff>20109</xdr:rowOff>
    </xdr:from>
    <xdr:to>
      <xdr:col>7</xdr:col>
      <xdr:colOff>408516</xdr:colOff>
      <xdr:row>17</xdr:row>
      <xdr:rowOff>39159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874" y="2994026"/>
          <a:ext cx="371475" cy="400050"/>
        </a:xfrm>
        <a:prstGeom prst="rect">
          <a:avLst/>
        </a:prstGeom>
      </xdr:spPr>
    </xdr:pic>
    <xdr:clientData/>
  </xdr:twoCellAnchor>
  <xdr:twoCellAnchor>
    <xdr:from>
      <xdr:col>13</xdr:col>
      <xdr:colOff>159807</xdr:colOff>
      <xdr:row>16</xdr:row>
      <xdr:rowOff>98425</xdr:rowOff>
    </xdr:from>
    <xdr:to>
      <xdr:col>14</xdr:col>
      <xdr:colOff>29632</xdr:colOff>
      <xdr:row>17</xdr:row>
      <xdr:rowOff>88900</xdr:rowOff>
    </xdr:to>
    <xdr:sp macro="" textlink="">
      <xdr:nvSpPr>
        <xdr:cNvPr id="19" name="TextBox 18"/>
        <xdr:cNvSpPr txBox="1"/>
      </xdr:nvSpPr>
      <xdr:spPr>
        <a:xfrm>
          <a:off x="11050057" y="3220508"/>
          <a:ext cx="621242" cy="1809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rgbClr val="00B050"/>
              </a:solidFill>
            </a:rPr>
            <a:t>Successful</a:t>
          </a:r>
        </a:p>
      </xdr:txBody>
    </xdr:sp>
    <xdr:clientData/>
  </xdr:twoCellAnchor>
  <xdr:twoCellAnchor>
    <xdr:from>
      <xdr:col>7</xdr:col>
      <xdr:colOff>9525</xdr:colOff>
      <xdr:row>18</xdr:row>
      <xdr:rowOff>1</xdr:rowOff>
    </xdr:from>
    <xdr:to>
      <xdr:col>14</xdr:col>
      <xdr:colOff>47626</xdr:colOff>
      <xdr:row>21</xdr:row>
      <xdr:rowOff>31750</xdr:rowOff>
    </xdr:to>
    <xdr:sp macro="" textlink="">
      <xdr:nvSpPr>
        <xdr:cNvPr id="20" name="TextBox 19"/>
        <xdr:cNvSpPr txBox="1"/>
      </xdr:nvSpPr>
      <xdr:spPr>
        <a:xfrm>
          <a:off x="6465358" y="3545418"/>
          <a:ext cx="5276851" cy="6032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/>
            <a:t>        </a:t>
          </a:r>
          <a:r>
            <a:rPr lang="en-US" baseline="0"/>
            <a:t>  T</a:t>
          </a:r>
          <a:r>
            <a:rPr lang="en-US"/>
            <a:t>ransfer to Kenneth</a:t>
          </a:r>
          <a:r>
            <a:rPr lang="en-US" baseline="0"/>
            <a:t>                                                                                               </a:t>
          </a:r>
          <a:r>
            <a:rPr lang="en-US"/>
            <a:t>₦2,500.00 </a:t>
          </a:r>
        </a:p>
        <a:p>
          <a:pPr algn="l"/>
          <a:r>
            <a:rPr lang="en-US"/>
            <a:t>           </a:t>
          </a:r>
          <a:r>
            <a:rPr lang="en-US" sz="900">
              <a:solidFill>
                <a:schemeClr val="accent3">
                  <a:lumMod val="75000"/>
                </a:schemeClr>
              </a:solidFill>
            </a:rPr>
            <a:t>Apr 6th,11:34:18</a:t>
          </a:r>
        </a:p>
      </xdr:txBody>
    </xdr:sp>
    <xdr:clientData/>
  </xdr:twoCellAnchor>
  <xdr:twoCellAnchor editAs="oneCell">
    <xdr:from>
      <xdr:col>7</xdr:col>
      <xdr:colOff>28576</xdr:colOff>
      <xdr:row>18</xdr:row>
      <xdr:rowOff>77259</xdr:rowOff>
    </xdr:from>
    <xdr:to>
      <xdr:col>7</xdr:col>
      <xdr:colOff>409576</xdr:colOff>
      <xdr:row>20</xdr:row>
      <xdr:rowOff>58209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409" y="3580342"/>
          <a:ext cx="381000" cy="361950"/>
        </a:xfrm>
        <a:prstGeom prst="rect">
          <a:avLst/>
        </a:prstGeom>
      </xdr:spPr>
    </xdr:pic>
    <xdr:clientData/>
  </xdr:twoCellAnchor>
  <xdr:twoCellAnchor>
    <xdr:from>
      <xdr:col>13</xdr:col>
      <xdr:colOff>137586</xdr:colOff>
      <xdr:row>19</xdr:row>
      <xdr:rowOff>174627</xdr:rowOff>
    </xdr:from>
    <xdr:to>
      <xdr:col>14</xdr:col>
      <xdr:colOff>9526</xdr:colOff>
      <xdr:row>20</xdr:row>
      <xdr:rowOff>155577</xdr:rowOff>
    </xdr:to>
    <xdr:sp macro="" textlink="">
      <xdr:nvSpPr>
        <xdr:cNvPr id="23" name="TextBox 22"/>
        <xdr:cNvSpPr txBox="1"/>
      </xdr:nvSpPr>
      <xdr:spPr>
        <a:xfrm>
          <a:off x="11027836" y="3868210"/>
          <a:ext cx="623357" cy="171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rgbClr val="00B050"/>
              </a:solidFill>
            </a:rPr>
            <a:t>Successful</a:t>
          </a:r>
        </a:p>
      </xdr:txBody>
    </xdr:sp>
    <xdr:clientData/>
  </xdr:twoCellAnchor>
  <xdr:twoCellAnchor>
    <xdr:from>
      <xdr:col>12</xdr:col>
      <xdr:colOff>444501</xdr:colOff>
      <xdr:row>11</xdr:row>
      <xdr:rowOff>74085</xdr:rowOff>
    </xdr:from>
    <xdr:to>
      <xdr:col>13</xdr:col>
      <xdr:colOff>232833</xdr:colOff>
      <xdr:row>12</xdr:row>
      <xdr:rowOff>95250</xdr:rowOff>
    </xdr:to>
    <xdr:sp macro="" textlink="">
      <xdr:nvSpPr>
        <xdr:cNvPr id="6" name="TextBox 5"/>
        <xdr:cNvSpPr txBox="1"/>
      </xdr:nvSpPr>
      <xdr:spPr>
        <a:xfrm>
          <a:off x="10456334" y="2243668"/>
          <a:ext cx="666749" cy="2116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en-US" sz="900" b="1">
              <a:solidFill>
                <a:schemeClr val="bg2">
                  <a:lumMod val="50000"/>
                </a:schemeClr>
              </a:solidFill>
            </a:rPr>
            <a:t>OWealth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6" displayName="Table6" ref="A1:E27" totalsRowShown="0" headerRowDxfId="2">
  <autoFilter ref="A1:E27"/>
  <tableColumns count="5">
    <tableColumn id="1" name="Date" dataDxfId="1"/>
    <tableColumn id="2" name="Name"/>
    <tableColumn id="3" name="Category"/>
    <tableColumn id="4" name="Type"/>
    <tableColumn id="5" name="Amou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3"/>
  <sheetViews>
    <sheetView showGridLines="0" tabSelected="1" topLeftCell="A2" zoomScale="90" zoomScaleNormal="90" workbookViewId="0">
      <selection activeCell="E6" sqref="E6"/>
    </sheetView>
  </sheetViews>
  <sheetFormatPr defaultRowHeight="15" x14ac:dyDescent="0.25"/>
  <cols>
    <col min="2" max="2" width="29.140625" bestFit="1" customWidth="1"/>
    <col min="3" max="3" width="16.140625" bestFit="1" customWidth="1"/>
    <col min="5" max="5" width="22.42578125" style="5" customWidth="1"/>
    <col min="8" max="8" width="9.7109375" customWidth="1"/>
    <col min="9" max="9" width="8.28515625" customWidth="1"/>
    <col min="10" max="10" width="15.140625" customWidth="1"/>
    <col min="12" max="12" width="11.140625" bestFit="1" customWidth="1"/>
    <col min="13" max="13" width="13.140625" bestFit="1" customWidth="1"/>
    <col min="14" max="14" width="11.28515625" bestFit="1" customWidth="1"/>
  </cols>
  <sheetData>
    <row r="1" spans="1:5" s="3" customFormat="1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1">
        <v>46113</v>
      </c>
      <c r="B2" t="s">
        <v>5</v>
      </c>
      <c r="C2" t="s">
        <v>6</v>
      </c>
      <c r="D2" t="s">
        <v>7</v>
      </c>
      <c r="E2" s="5">
        <v>97000</v>
      </c>
    </row>
    <row r="3" spans="1:5" x14ac:dyDescent="0.25">
      <c r="A3" s="1">
        <v>46113</v>
      </c>
      <c r="B3" t="s">
        <v>8</v>
      </c>
      <c r="C3" t="s">
        <v>20</v>
      </c>
      <c r="D3" t="s">
        <v>26</v>
      </c>
      <c r="E3" s="5">
        <v>1000</v>
      </c>
    </row>
    <row r="4" spans="1:5" x14ac:dyDescent="0.25">
      <c r="A4" s="1">
        <v>46114</v>
      </c>
      <c r="B4" t="s">
        <v>9</v>
      </c>
      <c r="C4" t="s">
        <v>6</v>
      </c>
      <c r="D4" t="s">
        <v>7</v>
      </c>
      <c r="E4" s="5">
        <v>50000</v>
      </c>
    </row>
    <row r="5" spans="1:5" x14ac:dyDescent="0.25">
      <c r="A5" s="1">
        <v>46114</v>
      </c>
      <c r="B5" t="s">
        <v>10</v>
      </c>
      <c r="C5" t="s">
        <v>21</v>
      </c>
      <c r="D5" t="s">
        <v>26</v>
      </c>
      <c r="E5" s="5">
        <v>1800</v>
      </c>
    </row>
    <row r="6" spans="1:5" x14ac:dyDescent="0.25">
      <c r="A6" s="1">
        <v>46115</v>
      </c>
      <c r="B6" t="s">
        <v>11</v>
      </c>
      <c r="C6" t="s">
        <v>24</v>
      </c>
      <c r="D6" t="s">
        <v>26</v>
      </c>
      <c r="E6" s="5">
        <v>6000</v>
      </c>
    </row>
    <row r="7" spans="1:5" x14ac:dyDescent="0.25">
      <c r="A7" s="1">
        <v>46115</v>
      </c>
      <c r="B7" t="s">
        <v>12</v>
      </c>
      <c r="C7" t="s">
        <v>6</v>
      </c>
      <c r="D7" t="s">
        <v>7</v>
      </c>
      <c r="E7" s="5">
        <v>7000</v>
      </c>
    </row>
    <row r="8" spans="1:5" x14ac:dyDescent="0.25">
      <c r="A8" s="1">
        <v>46116</v>
      </c>
      <c r="B8" t="s">
        <v>13</v>
      </c>
      <c r="C8" t="s">
        <v>23</v>
      </c>
      <c r="D8" t="s">
        <v>26</v>
      </c>
      <c r="E8" s="5">
        <v>4000</v>
      </c>
    </row>
    <row r="9" spans="1:5" x14ac:dyDescent="0.25">
      <c r="A9" s="1">
        <v>46116</v>
      </c>
      <c r="B9" t="s">
        <v>14</v>
      </c>
      <c r="C9" t="s">
        <v>6</v>
      </c>
      <c r="D9" t="s">
        <v>7</v>
      </c>
      <c r="E9" s="5">
        <v>12000</v>
      </c>
    </row>
    <row r="10" spans="1:5" x14ac:dyDescent="0.25">
      <c r="A10" s="1">
        <v>46117</v>
      </c>
      <c r="B10" t="s">
        <v>15</v>
      </c>
      <c r="C10" t="s">
        <v>25</v>
      </c>
      <c r="D10" t="s">
        <v>26</v>
      </c>
      <c r="E10" s="5">
        <v>6500</v>
      </c>
    </row>
    <row r="11" spans="1:5" x14ac:dyDescent="0.25">
      <c r="A11" s="1">
        <v>46117</v>
      </c>
      <c r="B11" t="s">
        <v>16</v>
      </c>
      <c r="C11" t="s">
        <v>6</v>
      </c>
      <c r="D11" t="s">
        <v>7</v>
      </c>
      <c r="E11" s="5">
        <v>70000</v>
      </c>
    </row>
    <row r="12" spans="1:5" x14ac:dyDescent="0.25">
      <c r="A12" s="1">
        <v>46118</v>
      </c>
      <c r="B12" t="s">
        <v>35</v>
      </c>
      <c r="C12" t="s">
        <v>6</v>
      </c>
      <c r="D12" t="s">
        <v>26</v>
      </c>
      <c r="E12" s="5">
        <v>2500</v>
      </c>
    </row>
    <row r="13" spans="1:5" x14ac:dyDescent="0.25">
      <c r="A13" s="1">
        <v>46118</v>
      </c>
      <c r="B13" t="s">
        <v>33</v>
      </c>
      <c r="C13" t="s">
        <v>34</v>
      </c>
      <c r="D13" t="s">
        <v>7</v>
      </c>
      <c r="E13" s="5">
        <v>500</v>
      </c>
    </row>
    <row r="14" spans="1:5" x14ac:dyDescent="0.25">
      <c r="A14" s="1">
        <v>46119</v>
      </c>
      <c r="B14" t="s">
        <v>10</v>
      </c>
      <c r="C14" t="s">
        <v>21</v>
      </c>
      <c r="D14" t="s">
        <v>26</v>
      </c>
      <c r="E14" s="5">
        <v>1800</v>
      </c>
    </row>
    <row r="15" spans="1:5" x14ac:dyDescent="0.25">
      <c r="A15" s="1">
        <v>46119</v>
      </c>
      <c r="B15" t="s">
        <v>17</v>
      </c>
      <c r="C15" t="s">
        <v>6</v>
      </c>
      <c r="D15" t="s">
        <v>7</v>
      </c>
      <c r="E15" s="5">
        <v>4500</v>
      </c>
    </row>
    <row r="16" spans="1:5" x14ac:dyDescent="0.25">
      <c r="A16" s="1">
        <v>46120</v>
      </c>
      <c r="B16" t="s">
        <v>11</v>
      </c>
      <c r="C16" t="s">
        <v>22</v>
      </c>
      <c r="D16" t="s">
        <v>26</v>
      </c>
      <c r="E16" s="5">
        <v>5000</v>
      </c>
    </row>
    <row r="17" spans="1:8" x14ac:dyDescent="0.25">
      <c r="A17" s="1">
        <v>46120</v>
      </c>
      <c r="B17" t="s">
        <v>5</v>
      </c>
      <c r="C17" t="s">
        <v>6</v>
      </c>
      <c r="D17" t="s">
        <v>7</v>
      </c>
      <c r="E17" s="5">
        <v>78000</v>
      </c>
    </row>
    <row r="18" spans="1:8" x14ac:dyDescent="0.25">
      <c r="A18" s="1">
        <v>46121</v>
      </c>
      <c r="B18" t="s">
        <v>15</v>
      </c>
      <c r="C18" t="s">
        <v>25</v>
      </c>
      <c r="D18" t="s">
        <v>26</v>
      </c>
      <c r="E18" s="5">
        <v>7500</v>
      </c>
    </row>
    <row r="19" spans="1:8" x14ac:dyDescent="0.25">
      <c r="A19" s="1">
        <v>46121</v>
      </c>
      <c r="B19" t="s">
        <v>18</v>
      </c>
      <c r="C19" t="s">
        <v>6</v>
      </c>
      <c r="D19" t="s">
        <v>7</v>
      </c>
      <c r="E19" s="5">
        <v>14000</v>
      </c>
    </row>
    <row r="20" spans="1:8" x14ac:dyDescent="0.25">
      <c r="A20" s="1">
        <v>46122</v>
      </c>
      <c r="B20" t="s">
        <v>8</v>
      </c>
      <c r="C20" t="s">
        <v>20</v>
      </c>
      <c r="D20" t="s">
        <v>26</v>
      </c>
      <c r="E20" s="5">
        <v>500</v>
      </c>
    </row>
    <row r="21" spans="1:8" x14ac:dyDescent="0.25">
      <c r="A21" s="1">
        <v>46122</v>
      </c>
      <c r="B21" t="s">
        <v>19</v>
      </c>
      <c r="C21" t="s">
        <v>6</v>
      </c>
      <c r="D21" t="s">
        <v>7</v>
      </c>
      <c r="E21" s="5">
        <v>32000</v>
      </c>
    </row>
    <row r="22" spans="1:8" x14ac:dyDescent="0.25">
      <c r="A22" s="1">
        <v>46123</v>
      </c>
      <c r="B22" t="s">
        <v>38</v>
      </c>
      <c r="C22" t="s">
        <v>6</v>
      </c>
      <c r="D22" t="s">
        <v>7</v>
      </c>
      <c r="E22" s="5">
        <v>1000</v>
      </c>
    </row>
    <row r="23" spans="1:8" x14ac:dyDescent="0.25">
      <c r="A23" s="1">
        <v>46123</v>
      </c>
      <c r="B23" t="s">
        <v>39</v>
      </c>
      <c r="C23" t="s">
        <v>6</v>
      </c>
      <c r="D23" t="s">
        <v>7</v>
      </c>
      <c r="E23" s="5">
        <v>1000000</v>
      </c>
    </row>
    <row r="24" spans="1:8" x14ac:dyDescent="0.25">
      <c r="A24" s="1"/>
      <c r="D24" t="s">
        <v>26</v>
      </c>
      <c r="E24" s="5">
        <v>260000</v>
      </c>
    </row>
    <row r="25" spans="1:8" x14ac:dyDescent="0.25">
      <c r="A25" s="1"/>
      <c r="D25" s="9" t="s">
        <v>7</v>
      </c>
      <c r="E25" s="5">
        <v>2000000</v>
      </c>
    </row>
    <row r="26" spans="1:8" x14ac:dyDescent="0.25">
      <c r="A26" s="1"/>
      <c r="C26" t="s">
        <v>40</v>
      </c>
      <c r="D26" t="s">
        <v>7</v>
      </c>
      <c r="E26" s="5">
        <v>25000</v>
      </c>
    </row>
    <row r="27" spans="1:8" x14ac:dyDescent="0.25">
      <c r="A27" s="1"/>
      <c r="D27" t="s">
        <v>26</v>
      </c>
      <c r="E27" s="5">
        <v>150000</v>
      </c>
    </row>
    <row r="32" spans="1:8" x14ac:dyDescent="0.25">
      <c r="H32" s="7"/>
    </row>
    <row r="33" spans="8:8" x14ac:dyDescent="0.25">
      <c r="H33" s="8"/>
    </row>
  </sheetData>
  <conditionalFormatting sqref="I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{16B4932B-40B6-4F9F-9CFD-86BA2D4A9421}</x14:id>
        </ext>
      </extLst>
    </cfRule>
  </conditionalFormatting>
  <pageMargins left="0.7" right="0.7" top="0.75" bottom="0.75" header="0.3" footer="0.3"/>
  <pageSetup paperSize="9" fitToWidth="0" fitToHeight="0" orientation="landscape" r:id="rId1"/>
  <colBreaks count="1" manualBreakCount="1">
    <brk id="17" max="32" man="1"/>
  </col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B4932B-40B6-4F9F-9CFD-86BA2D4A9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5"/>
  <sheetViews>
    <sheetView workbookViewId="0">
      <selection activeCell="G4" sqref="G4"/>
    </sheetView>
  </sheetViews>
  <sheetFormatPr defaultRowHeight="15" x14ac:dyDescent="0.25"/>
  <cols>
    <col min="2" max="2" width="14.140625" customWidth="1"/>
    <col min="5" max="5" width="15.7109375" customWidth="1"/>
    <col min="6" max="6" width="12.42578125" bestFit="1" customWidth="1"/>
    <col min="7" max="7" width="16.5703125" customWidth="1"/>
  </cols>
  <sheetData>
    <row r="1" spans="1:7" ht="21" x14ac:dyDescent="0.35">
      <c r="A1" s="3" t="s">
        <v>27</v>
      </c>
      <c r="B1" s="3" t="s">
        <v>28</v>
      </c>
      <c r="C1" s="3"/>
      <c r="D1" s="3"/>
      <c r="E1" s="3"/>
      <c r="F1" s="3"/>
      <c r="G1" s="3"/>
    </row>
    <row r="2" spans="1:7" ht="15.75" x14ac:dyDescent="0.25">
      <c r="A2" s="2"/>
      <c r="B2" s="5"/>
      <c r="D2" s="2" t="s">
        <v>31</v>
      </c>
      <c r="E2" s="5">
        <v>5</v>
      </c>
      <c r="F2" s="2" t="s">
        <v>29</v>
      </c>
      <c r="G2" s="5">
        <f>SUMIF(Dashboard!D:D, "Credit",Dashboard!E:E)</f>
        <v>3391000</v>
      </c>
    </row>
    <row r="3" spans="1:7" ht="15.75" x14ac:dyDescent="0.25">
      <c r="A3" s="2"/>
      <c r="B3" s="5"/>
      <c r="D3" s="2" t="s">
        <v>32</v>
      </c>
      <c r="E3" s="5">
        <f>G2-G3</f>
        <v>2944400</v>
      </c>
      <c r="F3" s="2" t="s">
        <v>36</v>
      </c>
      <c r="G3" s="5">
        <f>SUMIF(Dashboard!D:D, "Debit",Dashboard!E:E)</f>
        <v>446600</v>
      </c>
    </row>
    <row r="4" spans="1:7" ht="15.75" x14ac:dyDescent="0.25">
      <c r="A4" s="2"/>
      <c r="B4" s="5"/>
      <c r="D4" s="6"/>
      <c r="F4" s="2" t="s">
        <v>37</v>
      </c>
      <c r="G4" s="5">
        <f>G2-G3</f>
        <v>2944400</v>
      </c>
    </row>
    <row r="5" spans="1:7" ht="15.75" x14ac:dyDescent="0.25">
      <c r="A5" s="2" t="s">
        <v>30</v>
      </c>
      <c r="B5" s="5">
        <f>40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Sheet2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2026-04-08T14:07:10Z</cp:lastPrinted>
  <dcterms:created xsi:type="dcterms:W3CDTF">2026-04-04T20:52:31Z</dcterms:created>
  <dcterms:modified xsi:type="dcterms:W3CDTF">2026-04-17T15:21:05Z</dcterms:modified>
</cp:coreProperties>
</file>